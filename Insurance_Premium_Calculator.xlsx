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Experience" sheetId="2" r:id="rId2"/>
    <sheet name="Inputs" sheetId="3" r:id="rId3"/>
    <sheet name="Pricing" sheetId="4" r:id="rId4"/>
    <sheet name="Sensitivity" sheetId="5" r:id="rId5"/>
  </sheets>
  <calcPr calcId="124519" fullCalcOnLoad="1"/>
</workbook>
</file>

<file path=xl/sharedStrings.xml><?xml version="1.0" encoding="utf-8"?>
<sst xmlns="http://schemas.openxmlformats.org/spreadsheetml/2006/main" count="83" uniqueCount="81">
  <si>
    <t>Insurance Premium Calculator</t>
  </si>
  <si>
    <t>Purpose</t>
  </si>
  <si>
    <t>Illustrative annual insurance pricing using expected claim frequency and severity.</t>
  </si>
  <si>
    <t>1. Review sample history</t>
  </si>
  <si>
    <t>Experience contains synthetic annual data. Replace blue cells with your own data; exposure means policy-years.</t>
  </si>
  <si>
    <t>2. Set assumptions</t>
  </si>
  <si>
    <t>Inputs controls frequency, severity, trend, expenses, and target profit. Blue cells are editable; other cells contain formulas.</t>
  </si>
  <si>
    <t>3. Review the price</t>
  </si>
  <si>
    <t>Pricing calculates annual premium per policy and expected portfolio totals. Sensitivity compares nine frequency/severity scenarios.</t>
  </si>
  <si>
    <t>Units</t>
  </si>
  <si>
    <t>Currency is USD; frequency is claims per policy-year; severity is dollars per claim. Annual premium is dollars per policy-year.</t>
  </si>
  <si>
    <t>Model scope</t>
  </si>
  <si>
    <t>Uses a frequency × severity expected-loss model. No deductibles, limits, investment income, taxes, reinsurance, or credibility adjustments are modeled.</t>
  </si>
  <si>
    <t>Important</t>
  </si>
  <si>
    <t>Sample data and assumptions are fictional. This is a learning and planning template; it is not a rate filing or a professionally validated insurance quote.</t>
  </si>
  <si>
    <t>Formula updates</t>
  </si>
  <si>
    <t>Open in Excel or another compatible spreadsheet application to recalculate after edits. Cached initial results are included.</t>
  </si>
  <si>
    <t>Synthetic claims experience</t>
  </si>
  <si>
    <t>Year</t>
  </si>
  <si>
    <t>Policy-years</t>
  </si>
  <si>
    <t>Claim count</t>
  </si>
  <si>
    <t>Total claims ($)</t>
  </si>
  <si>
    <t>Frequency</t>
  </si>
  <si>
    <t>Severity ($)</t>
  </si>
  <si>
    <t>Total / weighted average</t>
  </si>
  <si>
    <t>Claims are assumed fully developed, with consistent coverage and exposure definitions. The weighted severity pools nominal historical dollars; select an appropriate base date and adjust for development or past inflation before using real data.</t>
  </si>
  <si>
    <t>Pricing assumptions</t>
  </si>
  <si>
    <t>Assumption</t>
  </si>
  <si>
    <t>Value</t>
  </si>
  <si>
    <t>Meaning</t>
  </si>
  <si>
    <t>Annual claim frequency</t>
  </si>
  <si>
    <t>Defaults to weighted historical frequency; may be overwritten.</t>
  </si>
  <si>
    <t>Average claim severity</t>
  </si>
  <si>
    <t>Defaults to weighted historical severity; may be overwritten.</t>
  </si>
  <si>
    <t>Annual severity trend</t>
  </si>
  <si>
    <t>Applied from the selected severity base date to the pricing period.</t>
  </si>
  <si>
    <t>Trend years</t>
  </si>
  <si>
    <t>Time from selected severity base date to pricing period midpoint.</t>
  </si>
  <si>
    <t>Fixed expense per policy</t>
  </si>
  <si>
    <t>Annual administration expense in dollars per policy.</t>
  </si>
  <si>
    <t>Variable expense ratio</t>
  </si>
  <si>
    <t>Acquisition and other expenses as a fraction of premium.</t>
  </si>
  <si>
    <t>Target underwriting profit ratio</t>
  </si>
  <si>
    <t>Expected underwriting profit divided by premium.</t>
  </si>
  <si>
    <t>Projected policy-years</t>
  </si>
  <si>
    <t>Expected annual exposure for portfolio totals.</t>
  </si>
  <si>
    <t>Input status</t>
  </si>
  <si>
    <t>Zero claims produce zero historical severity; select a credible severity assumption before pricing. Validation is a convenience: pasted values can bypass it, so confirm the input status before relying on results.</t>
  </si>
  <si>
    <t>Annual indicated premium</t>
  </si>
  <si>
    <t>Metric</t>
  </si>
  <si>
    <t>Calculation</t>
  </si>
  <si>
    <t>Trended claim severity</t>
  </si>
  <si>
    <t>Base severity × (1 + annual trend) ^ trend years</t>
  </si>
  <si>
    <t>Expected claims cost per policy</t>
  </si>
  <si>
    <t>Frequency × trended severity</t>
  </si>
  <si>
    <t>From Inputs</t>
  </si>
  <si>
    <t>Available premium fraction</t>
  </si>
  <si>
    <t>1 − variable expense ratio − profit ratio</t>
  </si>
  <si>
    <t>Annual premium per policy</t>
  </si>
  <si>
    <t>(Expected claims + fixed expense) / available fraction</t>
  </si>
  <si>
    <t>Monthly equivalent</t>
  </si>
  <si>
    <t>Annual premium / 12; no installment fees modeled</t>
  </si>
  <si>
    <t>Expected loss ratio</t>
  </si>
  <si>
    <t>Expected claims / premium</t>
  </si>
  <si>
    <t>Projected portfolio premium</t>
  </si>
  <si>
    <t>Annual premium × projected policy-years</t>
  </si>
  <si>
    <t>Projected portfolio claims</t>
  </si>
  <si>
    <t>Expected claims cost × projected policy-years</t>
  </si>
  <si>
    <t>Projected portfolio expenses</t>
  </si>
  <si>
    <t>Fixed expenses plus variable expenses</t>
  </si>
  <si>
    <t>Projected underwriting profit</t>
  </si>
  <si>
    <t>Portfolio premium − claims − expenses</t>
  </si>
  <si>
    <t>Premium component</t>
  </si>
  <si>
    <t>Annual dollars</t>
  </si>
  <si>
    <t>Claims</t>
  </si>
  <si>
    <t>Fixed expense</t>
  </si>
  <si>
    <t>Variable expense</t>
  </si>
  <si>
    <t>Profit</t>
  </si>
  <si>
    <t>Annual premium sensitivity</t>
  </si>
  <si>
    <t>Frequency / severity</t>
  </si>
  <si>
    <t>Row factors multiply claim frequency; column factors multiply trended severity. Expenses and target profit remain unchanged. The center cell matches the annual premium on Pricing.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</si>
</sst>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%"/>
    <numFmt numFmtId="166" formatCode="$#,##0.00"/>
  </numFmts>
  <fonts count="6">
    <font>
      <sz val="11"/>
      <color theme="1"/>
      <name val="Calibri"/>
      <family val="2"/>
      <scheme val="minor"/>
    </font>
    <font>
      <b/>
      <sz val="20"/>
      <color rgb="FF17324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526477"/>
      <name val="Calibri"/>
      <family val="2"/>
      <scheme val="minor"/>
    </font>
    <font>
      <sz val="11"/>
      <color rgb="FF1565C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E5F4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vertical="top" wrapText="1"/>
    </xf>
    <xf numFmtId="164" fontId="4" fillId="3" borderId="0" xfId="0" applyNumberFormat="1" applyFont="1" applyFill="1"/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165" fontId="4" fillId="3" borderId="0" xfId="0" applyNumberFormat="1" applyFont="1" applyFill="1"/>
    <xf numFmtId="166" fontId="5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annual premium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Annual premium components</c:v>
          </c:tx>
          <c:spPr>
            <a:solidFill>
              <a:srgbClr val="247B91"/>
            </a:solidFill>
          </c:spPr>
          <c:cat>
            <c:strRef>
              <c:f>Pricing!$E$4:$E$7</c:f>
              <c:strCache>
                <c:ptCount val="4"/>
                <c:pt idx="0">
                  <c:v>Claims</c:v>
                </c:pt>
                <c:pt idx="1">
                  <c:v>Fixed expense</c:v>
                </c:pt>
                <c:pt idx="2">
                  <c:v>Variable expense</c:v>
                </c:pt>
                <c:pt idx="3">
                  <c:v>Profit</c:v>
                </c:pt>
              </c:strCache>
            </c:strRef>
          </c:cat>
          <c:val>
            <c:numRef>
              <c:f>Pricing!$F$4:$F$7</c:f>
              <c:numCache>
                <c:formatCode>General</c:formatCode>
                <c:ptCount val="4"/>
                <c:pt idx="0">
                  <c:v>387.41499999999996</c:v>
                </c:pt>
                <c:pt idx="1">
                  <c:v>50</c:v>
                </c:pt>
                <c:pt idx="2">
                  <c:v>124.97571428571428</c:v>
                </c:pt>
                <c:pt idx="3">
                  <c:v>62.48785714285714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 per policy-year</a:t>
                </a:r>
              </a:p>
            </c:rich>
          </c:tx>
          <c:layout/>
        </c:title>
        <c:numFmt formatCode="$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9</xdr:col>
      <xdr:colOff>533400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8.7109375" customWidth="1"/>
    <col min="2" max="2" width="23.7109375" customWidth="1"/>
    <col min="3" max="3" width="67.7109375" customWidth="1"/>
  </cols>
  <sheetData>
    <row r="1" spans="1:3">
      <c r="A1" s="1" t="s">
        <v>0</v>
      </c>
      <c r="B1" s="1"/>
      <c r="C1" s="1"/>
    </row>
    <row r="4" spans="1:3" ht="48" customHeight="1">
      <c r="A4" s="2" t="s">
        <v>1</v>
      </c>
      <c r="B4" s="3" t="s">
        <v>2</v>
      </c>
      <c r="C4" s="3"/>
    </row>
    <row r="5" spans="1:3" ht="48" customHeight="1">
      <c r="A5" s="2" t="s">
        <v>3</v>
      </c>
      <c r="B5" s="3" t="s">
        <v>4</v>
      </c>
      <c r="C5" s="3"/>
    </row>
    <row r="6" spans="1:3" ht="48" customHeight="1">
      <c r="A6" s="2" t="s">
        <v>5</v>
      </c>
      <c r="B6" s="3" t="s">
        <v>6</v>
      </c>
      <c r="C6" s="3"/>
    </row>
    <row r="7" spans="1:3" ht="48" customHeight="1">
      <c r="A7" s="2" t="s">
        <v>7</v>
      </c>
      <c r="B7" s="3" t="s">
        <v>8</v>
      </c>
      <c r="C7" s="3"/>
    </row>
    <row r="8" spans="1:3" ht="48" customHeight="1">
      <c r="A8" s="2" t="s">
        <v>9</v>
      </c>
      <c r="B8" s="3" t="s">
        <v>10</v>
      </c>
      <c r="C8" s="3"/>
    </row>
    <row r="9" spans="1:3" ht="48" customHeight="1">
      <c r="A9" s="2" t="s">
        <v>11</v>
      </c>
      <c r="B9" s="3" t="s">
        <v>12</v>
      </c>
      <c r="C9" s="3"/>
    </row>
    <row r="10" spans="1:3" ht="48" customHeight="1">
      <c r="A10" s="2" t="s">
        <v>13</v>
      </c>
      <c r="B10" s="3" t="s">
        <v>14</v>
      </c>
      <c r="C10" s="3"/>
    </row>
    <row r="11" spans="1:3" ht="48" customHeight="1">
      <c r="A11" s="2" t="s">
        <v>15</v>
      </c>
      <c r="B11" s="3" t="s">
        <v>16</v>
      </c>
      <c r="C11" s="3"/>
    </row>
  </sheetData>
  <mergeCells count="9">
    <mergeCell ref="A1:C1"/>
    <mergeCell ref="B4:C4"/>
    <mergeCell ref="B5:C5"/>
    <mergeCell ref="B6:C6"/>
    <mergeCell ref="B7:C7"/>
    <mergeCell ref="B8:C8"/>
    <mergeCell ref="B9:C9"/>
    <mergeCell ref="B10:C10"/>
    <mergeCell ref="B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6" width="21.7109375" customWidth="1"/>
  </cols>
  <sheetData>
    <row r="1" spans="1:6">
      <c r="A1" s="1" t="s">
        <v>17</v>
      </c>
      <c r="B1" s="1"/>
      <c r="C1" s="1"/>
      <c r="D1" s="1"/>
      <c r="E1" s="1"/>
      <c r="F1" s="1"/>
    </row>
    <row r="3" spans="1:6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</row>
    <row r="4" spans="1:6">
      <c r="A4" s="4">
        <v>2023</v>
      </c>
      <c r="B4" s="4">
        <v>900</v>
      </c>
      <c r="C4" s="4">
        <v>65</v>
      </c>
      <c r="D4" s="4">
        <v>292500</v>
      </c>
      <c r="E4" s="5">
        <f>IFERROR(C4/B4,0)</f>
        <v>0.07222222222222222</v>
      </c>
      <c r="F4" s="6">
        <f>IFERROR(D4/C4,0)</f>
        <v>4500.0</v>
      </c>
    </row>
    <row r="5" spans="1:6">
      <c r="A5" s="4">
        <v>2024</v>
      </c>
      <c r="B5" s="4">
        <v>1000</v>
      </c>
      <c r="C5" s="4">
        <v>78</v>
      </c>
      <c r="D5" s="4">
        <v>374400</v>
      </c>
      <c r="E5" s="5">
        <f>IFERROR(C5/B5,0)</f>
        <v>0.078</v>
      </c>
      <c r="F5" s="6">
        <f>IFERROR(D5/C5,0)</f>
        <v>4800.0</v>
      </c>
    </row>
    <row r="6" spans="1:6">
      <c r="A6" s="4">
        <v>2025</v>
      </c>
      <c r="B6" s="4">
        <v>1100</v>
      </c>
      <c r="C6" s="4">
        <v>88</v>
      </c>
      <c r="D6" s="4">
        <v>440000</v>
      </c>
      <c r="E6" s="5">
        <f>IFERROR(C6/B6,0)</f>
        <v>0.08</v>
      </c>
      <c r="F6" s="6">
        <f>IFERROR(D6/C6,0)</f>
        <v>5000.0</v>
      </c>
    </row>
    <row r="8" spans="1:6">
      <c r="A8" s="2" t="s">
        <v>24</v>
      </c>
      <c r="B8" s="7">
        <f>SUM(B4:B6)</f>
        <v>3000</v>
      </c>
      <c r="C8" s="7">
        <f>SUM(C4:C6)</f>
        <v>231</v>
      </c>
      <c r="D8" s="7">
        <f>SUM(D4:D6)</f>
        <v>1106900</v>
      </c>
      <c r="E8" s="5">
        <f>IFERROR(C8/B8,0)</f>
        <v>0.077</v>
      </c>
      <c r="F8" s="6">
        <f>IFERROR(D8/C8,0)</f>
        <v>4791.774891774891</v>
      </c>
    </row>
    <row r="10" spans="1:6">
      <c r="A10" s="3" t="s">
        <v>25</v>
      </c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</sheetData>
  <mergeCells count="2">
    <mergeCell ref="A1:F1"/>
    <mergeCell ref="A10:F11"/>
  </mergeCells>
  <dataValidations count="3">
    <dataValidation type="decimal" operator="greaterThan" allowBlank="1" showInputMessage="1" showErrorMessage="1" sqref="B4:B6">
      <formula1>0</formula1>
    </dataValidation>
    <dataValidation type="whole" operator="greaterThanOrEqual" allowBlank="1" showInputMessage="1" showErrorMessage="1" sqref="C4:C6">
      <formula1>0</formula1>
    </dataValidation>
    <dataValidation type="decimal" operator="greaterThanOrEqual" allowBlank="1" showInputMessage="1" showErrorMessage="1" sqref="D4:D6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8.7109375" customWidth="1"/>
    <col min="2" max="2" width="23.7109375" customWidth="1"/>
    <col min="3" max="3" width="67.7109375" customWidth="1"/>
  </cols>
  <sheetData>
    <row r="1" spans="1:3">
      <c r="A1" s="1" t="s">
        <v>26</v>
      </c>
      <c r="B1" s="1"/>
      <c r="C1" s="1"/>
    </row>
    <row r="3" spans="1:3">
      <c r="A3" s="2" t="s">
        <v>27</v>
      </c>
      <c r="B3" s="2" t="s">
        <v>28</v>
      </c>
      <c r="C3" s="2" t="s">
        <v>29</v>
      </c>
    </row>
    <row r="4" spans="1:3" ht="32" customHeight="1">
      <c r="A4" t="s">
        <v>30</v>
      </c>
      <c r="B4" s="8">
        <f>Experience!E8</f>
        <v>0.077</v>
      </c>
      <c r="C4" s="3" t="s">
        <v>31</v>
      </c>
    </row>
    <row r="5" spans="1:3" ht="32" customHeight="1">
      <c r="A5" t="s">
        <v>32</v>
      </c>
      <c r="B5" s="4">
        <f>Experience!F8</f>
        <v>4791.774891774891</v>
      </c>
      <c r="C5" s="3" t="s">
        <v>33</v>
      </c>
    </row>
    <row r="6" spans="1:3" ht="32" customHeight="1">
      <c r="A6" t="s">
        <v>34</v>
      </c>
      <c r="B6" s="8">
        <v>0.05</v>
      </c>
      <c r="C6" s="3" t="s">
        <v>35</v>
      </c>
    </row>
    <row r="7" spans="1:3" ht="32" customHeight="1">
      <c r="A7" t="s">
        <v>36</v>
      </c>
      <c r="B7" s="4">
        <v>1</v>
      </c>
      <c r="C7" s="3" t="s">
        <v>37</v>
      </c>
    </row>
    <row r="8" spans="1:3" ht="32" customHeight="1">
      <c r="A8" t="s">
        <v>38</v>
      </c>
      <c r="B8" s="4">
        <v>50</v>
      </c>
      <c r="C8" s="3" t="s">
        <v>39</v>
      </c>
    </row>
    <row r="9" spans="1:3" ht="32" customHeight="1">
      <c r="A9" t="s">
        <v>40</v>
      </c>
      <c r="B9" s="8">
        <v>0.2</v>
      </c>
      <c r="C9" s="3" t="s">
        <v>41</v>
      </c>
    </row>
    <row r="10" spans="1:3" ht="32" customHeight="1">
      <c r="A10" t="s">
        <v>42</v>
      </c>
      <c r="B10" s="8">
        <v>0.1</v>
      </c>
      <c r="C10" s="3" t="s">
        <v>43</v>
      </c>
    </row>
    <row r="11" spans="1:3" ht="32" customHeight="1">
      <c r="A11" t="s">
        <v>44</v>
      </c>
      <c r="B11" s="4">
        <v>1000</v>
      </c>
      <c r="C11" s="3" t="s">
        <v>45</v>
      </c>
    </row>
    <row r="13" spans="1:3">
      <c r="A13" s="2" t="s">
        <v>46</v>
      </c>
      <c r="B13" t="str">
        <f>IF(AND(COUNT(B4:B11)=8,MIN(B4:B10)&gt;=0,B11&gt;0,SUM(B9:B10)&lt;1),"OK","CHECK INPUTS")</f>
        <v>OK</v>
      </c>
    </row>
    <row r="15" spans="1:3">
      <c r="A15" s="3" t="s">
        <v>47</v>
      </c>
      <c r="B15" s="3"/>
      <c r="C15" s="3"/>
    </row>
    <row r="16" spans="1:3">
      <c r="A16" s="3"/>
      <c r="B16" s="3"/>
      <c r="C16" s="3"/>
    </row>
  </sheetData>
  <mergeCells count="2">
    <mergeCell ref="A1:C1"/>
    <mergeCell ref="A15:C16"/>
  </mergeCells>
  <dataValidations count="3">
    <dataValidation type="decimal" operator="greaterThanOrEqual" allowBlank="1" showInputMessage="1" showErrorMessage="1" sqref="B4:B8">
      <formula1>0</formula1>
    </dataValidation>
    <dataValidation type="custom" allowBlank="1" showInputMessage="1" showErrorMessage="1" error="Ratios must be nonnegative and sum to less than 100%." sqref="B9:B10">
      <formula1>AND(ISNUMBER(B9),B9&gt;=0,B9&lt;1,SUM($B$9:$B$10)&lt;1)</formula1>
    </dataValidation>
    <dataValidation type="decimal" operator="greaterThan" allowBlank="1" showInputMessage="1" showErrorMessage="1" sqref="B11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8.7109375" customWidth="1"/>
    <col min="2" max="2" width="23.7109375" customWidth="1"/>
    <col min="3" max="3" width="67.7109375" customWidth="1"/>
    <col min="5" max="5" width="23.7109375" customWidth="1"/>
    <col min="6" max="6" width="19.7109375" customWidth="1"/>
  </cols>
  <sheetData>
    <row r="1" spans="1:6">
      <c r="A1" s="1" t="s">
        <v>48</v>
      </c>
      <c r="B1" s="1"/>
      <c r="C1" s="1"/>
    </row>
    <row r="3" spans="1:6">
      <c r="A3" s="2" t="s">
        <v>49</v>
      </c>
      <c r="B3" s="2" t="s">
        <v>28</v>
      </c>
      <c r="C3" s="2" t="s">
        <v>50</v>
      </c>
      <c r="E3" s="2" t="s">
        <v>72</v>
      </c>
      <c r="F3" s="2" t="s">
        <v>73</v>
      </c>
    </row>
    <row r="4" spans="1:6">
      <c r="A4" t="s">
        <v>51</v>
      </c>
      <c r="B4" s="6">
        <f>IF(Inputs!B13="OK",Inputs!B5*(1+Inputs!B6)^Inputs!B7,NA())</f>
        <v>5031.363636363636</v>
      </c>
      <c r="C4" s="3" t="s">
        <v>52</v>
      </c>
      <c r="E4" t="s">
        <v>74</v>
      </c>
      <c r="F4" s="6">
        <f>B5</f>
        <v>387.41499999999996</v>
      </c>
    </row>
    <row r="5" spans="1:6">
      <c r="A5" t="s">
        <v>53</v>
      </c>
      <c r="B5" s="6">
        <f>IF(Inputs!B13="OK",Inputs!B4*B4,NA())</f>
        <v>387.41499999999996</v>
      </c>
      <c r="C5" s="3" t="s">
        <v>54</v>
      </c>
      <c r="E5" t="s">
        <v>75</v>
      </c>
      <c r="F5" s="6">
        <f>B6</f>
        <v>50</v>
      </c>
    </row>
    <row r="6" spans="1:6">
      <c r="A6" t="s">
        <v>38</v>
      </c>
      <c r="B6" s="6">
        <f>IF(Inputs!B13="OK",Inputs!B8,NA())</f>
        <v>50</v>
      </c>
      <c r="C6" s="3" t="s">
        <v>55</v>
      </c>
      <c r="E6" t="s">
        <v>76</v>
      </c>
      <c r="F6" s="6">
        <f>B8*Inputs!B9</f>
        <v>124.97571428571428</v>
      </c>
    </row>
    <row r="7" spans="1:6">
      <c r="A7" t="s">
        <v>56</v>
      </c>
      <c r="B7" s="5">
        <f>IF(Inputs!B13="OK",1-Inputs!B9-Inputs!B10,NA())</f>
        <v>0.7</v>
      </c>
      <c r="C7" s="3" t="s">
        <v>57</v>
      </c>
      <c r="E7" t="s">
        <v>77</v>
      </c>
      <c r="F7" s="6">
        <f>B8*Inputs!B10</f>
        <v>62.48785714285714</v>
      </c>
    </row>
    <row r="8" spans="1:6">
      <c r="A8" t="s">
        <v>58</v>
      </c>
      <c r="B8" s="9">
        <f>IF(Inputs!B13="OK",(B5+B6)/B7,NA())</f>
        <v>624.8785714285714</v>
      </c>
      <c r="C8" s="3" t="s">
        <v>59</v>
      </c>
    </row>
    <row r="9" spans="1:6">
      <c r="A9" t="s">
        <v>60</v>
      </c>
      <c r="B9" s="6">
        <f>IF(Inputs!B13="OK",B8/12,NA())</f>
        <v>52.07321428571428</v>
      </c>
      <c r="C9" s="3" t="s">
        <v>61</v>
      </c>
    </row>
    <row r="10" spans="1:6">
      <c r="A10" t="s">
        <v>62</v>
      </c>
      <c r="B10" s="5">
        <f>IF(Inputs!B13="OK",B5/B8,NA())</f>
        <v>0.6199844541225152</v>
      </c>
      <c r="C10" s="3" t="s">
        <v>63</v>
      </c>
    </row>
    <row r="11" spans="1:6">
      <c r="A11" t="s">
        <v>64</v>
      </c>
      <c r="B11" s="6">
        <f>IF(Inputs!B13="OK",B8*Inputs!B11,NA())</f>
        <v>624878.5714285714</v>
      </c>
      <c r="C11" s="3" t="s">
        <v>65</v>
      </c>
    </row>
    <row r="12" spans="1:6">
      <c r="A12" t="s">
        <v>66</v>
      </c>
      <c r="B12" s="6">
        <f>IF(Inputs!B13="OK",B5*Inputs!B11,NA())</f>
        <v>387414.99999999994</v>
      </c>
      <c r="C12" s="3" t="s">
        <v>67</v>
      </c>
    </row>
    <row r="13" spans="1:6">
      <c r="A13" t="s">
        <v>68</v>
      </c>
      <c r="B13" s="6">
        <f>IF(Inputs!B13="OK",(B6+B8*Inputs!B9)*Inputs!B11,NA())</f>
        <v>174975.71428571426</v>
      </c>
      <c r="C13" s="3" t="s">
        <v>69</v>
      </c>
    </row>
    <row r="14" spans="1:6">
      <c r="A14" t="s">
        <v>70</v>
      </c>
      <c r="B14" s="6">
        <f>IF(Inputs!B13="OK",B11-B12-B13,NA())</f>
        <v>62487.85714285714</v>
      </c>
      <c r="C14" s="3" t="s">
        <v>71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4" width="24.7109375" customWidth="1"/>
  </cols>
  <sheetData>
    <row r="1" spans="1:4">
      <c r="A1" s="1" t="s">
        <v>78</v>
      </c>
      <c r="B1" s="1"/>
      <c r="C1" s="1"/>
      <c r="D1" s="1"/>
    </row>
    <row r="3" spans="1:4">
      <c r="A3" s="2" t="s">
        <v>79</v>
      </c>
      <c r="B3" s="5">
        <v>0.9</v>
      </c>
      <c r="C3" s="5">
        <v>1</v>
      </c>
      <c r="D3" s="5">
        <v>1.1</v>
      </c>
    </row>
    <row r="4" spans="1:4">
      <c r="A4" s="5">
        <v>0.9</v>
      </c>
      <c r="B4" s="6">
        <f>IF(Inputs!B13="OK",(Inputs!B4*$A4*Pricing!$B$4*B$3+Inputs!B8)/(1-Inputs!B9-Inputs!B10),NA())</f>
        <v>519.7230714285714</v>
      </c>
      <c r="C4" s="6">
        <f>IF(Inputs!B13="OK",(Inputs!B4*$A4*Pricing!$B$4*C$3+Inputs!B8)/(1-Inputs!B9-Inputs!B10),NA())</f>
        <v>569.5335714285715</v>
      </c>
      <c r="D4" s="6">
        <f>IF(Inputs!B13="OK",(Inputs!B4*$A4*Pricing!$B$4*D$3+Inputs!B8)/(1-Inputs!B9-Inputs!B10),NA())</f>
        <v>619.3440714285715</v>
      </c>
    </row>
    <row r="5" spans="1:4">
      <c r="A5" s="5">
        <v>1</v>
      </c>
      <c r="B5" s="6">
        <f>IF(Inputs!B13="OK",(Inputs!B4*$A5*Pricing!$B$4*B$3+Inputs!B8)/(1-Inputs!B9-Inputs!B10),NA())</f>
        <v>569.5335714285715</v>
      </c>
      <c r="C5" s="6">
        <f>IF(Inputs!B13="OK",(Inputs!B4*$A5*Pricing!$B$4*C$3+Inputs!B8)/(1-Inputs!B9-Inputs!B10),NA())</f>
        <v>624.8785714285714</v>
      </c>
      <c r="D5" s="6">
        <f>IF(Inputs!B13="OK",(Inputs!B4*$A5*Pricing!$B$4*D$3+Inputs!B8)/(1-Inputs!B9-Inputs!B10),NA())</f>
        <v>680.2235714285715</v>
      </c>
    </row>
    <row r="6" spans="1:4">
      <c r="A6" s="5">
        <v>1.1</v>
      </c>
      <c r="B6" s="6">
        <f>IF(Inputs!B13="OK",(Inputs!B4*$A6*Pricing!$B$4*B$3+Inputs!B8)/(1-Inputs!B9-Inputs!B10),NA())</f>
        <v>619.3440714285714</v>
      </c>
      <c r="C6" s="6">
        <f>IF(Inputs!B13="OK",(Inputs!B4*$A6*Pricing!$B$4*C$3+Inputs!B8)/(1-Inputs!B9-Inputs!B10),NA())</f>
        <v>680.2235714285715</v>
      </c>
      <c r="D6" s="6">
        <f>IF(Inputs!B13="OK",(Inputs!B4*$A6*Pricing!$B$4*D$3+Inputs!B8)/(1-Inputs!B9-Inputs!B10),NA())</f>
        <v>741.1030714285715</v>
      </c>
    </row>
    <row r="9" spans="1:4">
      <c r="A9" s="3" t="s">
        <v>80</v>
      </c>
      <c r="B9" s="3"/>
      <c r="C9" s="3"/>
      <c r="D9" s="3"/>
    </row>
    <row r="10" spans="1:4">
      <c r="A10" s="3"/>
      <c r="B10" s="3"/>
      <c r="C10" s="3"/>
      <c r="D10" s="3"/>
    </row>
  </sheetData>
  <mergeCells count="2">
    <mergeCell ref="A1:D1"/>
    <mergeCell ref="A9:D10"/>
  </mergeCells>
  <conditionalFormatting sqref="B4:D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Experience</vt:lpstr>
      <vt:lpstr>Inputs</vt:lpstr>
      <vt:lpstr>Pricing</vt:lpstr>
      <vt:lpstr>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2026-10-27T23:18:13Z</dcterms:created>
  <dcterms:modified xsi:type="dcterms:W3CDTF">2026-10-27T23:18:13Z</dcterms:modified>
</cp:coreProperties>
</file>